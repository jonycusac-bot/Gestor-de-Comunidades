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Propietario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<sst xmlns="http://schemas.openxmlformats.org/spreadsheetml/2006/main" count="536" uniqueCount="296">
  <si>
    <t xml:space="preserve">Ejemplo relleno · Comunidad de prueba con 8 portales</t>
  </si>
  <si>
    <t xml:space="preserve">Comunidad ficticia de demostración: 8 portales, cada uno con Bajo (3 viviendas), 1ª planta (3 viviendas) y 2ª planta (2 viviendas) — 64 viviendas en total.</t>
  </si>
  <si>
    <t xml:space="preserve">PARA QUÉ SIRVE ESTE ARCHIVO</t>
  </si>
  <si>
    <t xml:space="preserve">Este libro ya está completamente relleno con datos ficticios. Úsalo tal cual para probar el flujo de "Importar desde Excel" al dar de alta una nueva comunidad, sin tener que escribir los datos a mano.</t>
  </si>
  <si>
    <t xml:space="preserve">ESTRUCTURA DE LA COMUNIDAD DE EJEMPLO</t>
  </si>
  <si>
    <t xml:space="preserve">• 8 portales (Portal 1 a Portal 8).</t>
  </si>
  <si>
    <t xml:space="preserve">• Cada portal tiene 3 plantas: Bajo (puertas A, B, C), 1ª planta (puertas A, B, C) y 2ª planta (puertas A, B).</t>
  </si>
  <si>
    <t xml:space="preserve">• 8 viviendas por portal → 64 viviendas y 64 propietarios en total.</t>
  </si>
  <si>
    <t xml:space="preserve">• El coeficiente de propiedad es igual para todas las viviendas (1/64 = 1,5625%) y la suma total da exactamente 100%, visible en la columna L de la pestaña "Propietarios".</t>
  </si>
  <si>
    <t xml:space="preserve">• El estado de pago está repartido de forma realista: la mayoría "Al día", una minoría "Pendiente".</t>
  </si>
  <si>
    <t xml:space="preserve">Los nombres, DNI, emails y teléfonos son inventados, solo para la demo.</t>
  </si>
  <si>
    <t xml:space="preserve">Portal / Bloque</t>
  </si>
  <si>
    <t xml:space="preserve">Planta</t>
  </si>
  <si>
    <t xml:space="preserve">Puerta</t>
  </si>
  <si>
    <t xml:space="preserve">Nombre del propietario</t>
  </si>
  <si>
    <t xml:space="preserve">DNI/NIF</t>
  </si>
  <si>
    <t xml:space="preserve">Email</t>
  </si>
  <si>
    <t xml:space="preserve">Teléfono</t>
  </si>
  <si>
    <t xml:space="preserve">Coeficiente de propiedad (%)</t>
  </si>
  <si>
    <t xml:space="preserve">Estado de pago</t>
  </si>
  <si>
    <t xml:space="preserve">Observaciones</t>
  </si>
  <si>
    <t xml:space="preserve">Total viviendas cargadas</t>
  </si>
  <si>
    <t xml:space="preserve">Portal 1</t>
  </si>
  <si>
    <t xml:space="preserve">Bajo</t>
  </si>
  <si>
    <t xml:space="preserve">A</t>
  </si>
  <si>
    <t xml:space="preserve">Vicente Sánchez Gil</t>
  </si>
  <si>
    <t xml:space="preserve">47308985Z</t>
  </si>
  <si>
    <t xml:space="preserve">vicente.sanchez@email.com</t>
  </si>
  <si>
    <t xml:space="preserve">+34 691 954 473</t>
  </si>
  <si>
    <t xml:space="preserve">Al día</t>
  </si>
  <si>
    <t xml:space="preserve">Suma coeficientes de propiedad</t>
  </si>
  <si>
    <t xml:space="preserve">B</t>
  </si>
  <si>
    <t xml:space="preserve">Pilar Ramos Vázquez</t>
  </si>
  <si>
    <t xml:space="preserve">38119557K</t>
  </si>
  <si>
    <t xml:space="preserve">pilar.ramos@email.com</t>
  </si>
  <si>
    <t xml:space="preserve">+34 644 818 799</t>
  </si>
  <si>
    <t xml:space="preserve">Total portales</t>
  </si>
  <si>
    <t xml:space="preserve">C</t>
  </si>
  <si>
    <t xml:space="preserve">Adrián López Iglesias</t>
  </si>
  <si>
    <t xml:space="preserve">95225343M</t>
  </si>
  <si>
    <t xml:space="preserve">adrian.lopez@email.com</t>
  </si>
  <si>
    <t xml:space="preserve">+34 678 846 350</t>
  </si>
  <si>
    <t xml:space="preserve">Pendiente</t>
  </si>
  <si>
    <t xml:space="preserve">1</t>
  </si>
  <si>
    <t xml:space="preserve">Pilar Morales Gil</t>
  </si>
  <si>
    <t xml:space="preserve">46231783C</t>
  </si>
  <si>
    <t xml:space="preserve">pilar.morales@email.com</t>
  </si>
  <si>
    <t xml:space="preserve">+34 698 670 324</t>
  </si>
  <si>
    <t xml:space="preserve">Ignacio Torres Fernández</t>
  </si>
  <si>
    <t xml:space="preserve">40742311R</t>
  </si>
  <si>
    <t xml:space="preserve">ignacio.torres@email.com</t>
  </si>
  <si>
    <t xml:space="preserve">+34 650 510 374</t>
  </si>
  <si>
    <t xml:space="preserve">Laura Díaz Sanz</t>
  </si>
  <si>
    <t xml:space="preserve">52235350Y</t>
  </si>
  <si>
    <t xml:space="preserve">laura.diaz@email.com</t>
  </si>
  <si>
    <t xml:space="preserve">+34 693 611 505</t>
  </si>
  <si>
    <t xml:space="preserve">2</t>
  </si>
  <si>
    <t xml:space="preserve">Yolanda Morales Martín</t>
  </si>
  <si>
    <t xml:space="preserve">45551614G</t>
  </si>
  <si>
    <t xml:space="preserve">yolanda.morales@email.com</t>
  </si>
  <si>
    <t xml:space="preserve">+34 641 862 674</t>
  </si>
  <si>
    <t xml:space="preserve">Teresa Romero Núñez</t>
  </si>
  <si>
    <t xml:space="preserve">67503414H</t>
  </si>
  <si>
    <t xml:space="preserve">teresa.romero@email.com</t>
  </si>
  <si>
    <t xml:space="preserve">+34 661 470 324</t>
  </si>
  <si>
    <t xml:space="preserve">Portal 2</t>
  </si>
  <si>
    <t xml:space="preserve">Isabel Castro Delgado</t>
  </si>
  <si>
    <t xml:space="preserve">22201654R</t>
  </si>
  <si>
    <t xml:space="preserve">isabel.castro@email.com</t>
  </si>
  <si>
    <t xml:space="preserve">+34 624 256 742</t>
  </si>
  <si>
    <t xml:space="preserve">Pilar Suárez Iglesias</t>
  </si>
  <si>
    <t xml:space="preserve">18526544N</t>
  </si>
  <si>
    <t xml:space="preserve">pilar.suarez@email.com</t>
  </si>
  <si>
    <t xml:space="preserve">+34 658 710 579</t>
  </si>
  <si>
    <t xml:space="preserve">Fernando Romero Marín</t>
  </si>
  <si>
    <t xml:space="preserve">11540956K</t>
  </si>
  <si>
    <t xml:space="preserve">fernando.romero@email.com</t>
  </si>
  <si>
    <t xml:space="preserve">+34 624 798 649</t>
  </si>
  <si>
    <t xml:space="preserve">Natalia Alonso Domínguez</t>
  </si>
  <si>
    <t xml:space="preserve">24972279D</t>
  </si>
  <si>
    <t xml:space="preserve">natalia.alonso@email.com</t>
  </si>
  <si>
    <t xml:space="preserve">+34 665 261 564</t>
  </si>
  <si>
    <t xml:space="preserve">María Romero Castro</t>
  </si>
  <si>
    <t xml:space="preserve">33978249Q</t>
  </si>
  <si>
    <t xml:space="preserve">maria.romero@email.com</t>
  </si>
  <si>
    <t xml:space="preserve">+34 623 991 740</t>
  </si>
  <si>
    <t xml:space="preserve">Alberto Castro Iglesias</t>
  </si>
  <si>
    <t xml:space="preserve">36697396G</t>
  </si>
  <si>
    <t xml:space="preserve">alberto.castro@email.com</t>
  </si>
  <si>
    <t xml:space="preserve">+34 657 880 265</t>
  </si>
  <si>
    <t xml:space="preserve">Teresa Ortiz González</t>
  </si>
  <si>
    <t xml:space="preserve">90388981X</t>
  </si>
  <si>
    <t xml:space="preserve">teresa.ortiz@email.com</t>
  </si>
  <si>
    <t xml:space="preserve">+34 672 119 214</t>
  </si>
  <si>
    <t xml:space="preserve">Héctor Ramos Navarro</t>
  </si>
  <si>
    <t xml:space="preserve">42138745R</t>
  </si>
  <si>
    <t xml:space="preserve">hector.ramos@email.com</t>
  </si>
  <si>
    <t xml:space="preserve">+34 640 999 680</t>
  </si>
  <si>
    <t xml:space="preserve">Portal 3</t>
  </si>
  <si>
    <t xml:space="preserve">Marina Martínez Martínez</t>
  </si>
  <si>
    <t xml:space="preserve">75228535W</t>
  </si>
  <si>
    <t xml:space="preserve">marina.martinez@email.com</t>
  </si>
  <si>
    <t xml:space="preserve">+34 678 884 228</t>
  </si>
  <si>
    <t xml:space="preserve">Isabel Ortega Marín</t>
  </si>
  <si>
    <t xml:space="preserve">32162965P</t>
  </si>
  <si>
    <t xml:space="preserve">isabel.ortega@email.com</t>
  </si>
  <si>
    <t xml:space="preserve">+34 677 993 721</t>
  </si>
  <si>
    <t xml:space="preserve">Sergio Díaz Rubio</t>
  </si>
  <si>
    <t xml:space="preserve">36998038E</t>
  </si>
  <si>
    <t xml:space="preserve">sergio.diaz@email.com</t>
  </si>
  <si>
    <t xml:space="preserve">+34 649 508 787</t>
  </si>
  <si>
    <t xml:space="preserve">Adrián Ramos Molina</t>
  </si>
  <si>
    <t xml:space="preserve">79467853Z</t>
  </si>
  <si>
    <t xml:space="preserve">adrian.ramos@email.com</t>
  </si>
  <si>
    <t xml:space="preserve">+34 625 353 330</t>
  </si>
  <si>
    <t xml:space="preserve">Laura Domínguez Rodríguez</t>
  </si>
  <si>
    <t xml:space="preserve">88961459V</t>
  </si>
  <si>
    <t xml:space="preserve">laura.dominguez@email.com</t>
  </si>
  <si>
    <t xml:space="preserve">+34 639 702 325</t>
  </si>
  <si>
    <t xml:space="preserve">María López Fernández</t>
  </si>
  <si>
    <t xml:space="preserve">40728046W</t>
  </si>
  <si>
    <t xml:space="preserve">maria.lopez@email.com</t>
  </si>
  <si>
    <t xml:space="preserve">+34 614 980 438</t>
  </si>
  <si>
    <t xml:space="preserve">Laura Castro Álvarez</t>
  </si>
  <si>
    <t xml:space="preserve">47376585K</t>
  </si>
  <si>
    <t xml:space="preserve">laura.castro@email.com</t>
  </si>
  <si>
    <t xml:space="preserve">+34 672 319 652</t>
  </si>
  <si>
    <t xml:space="preserve">Isabel Sanz Sanz</t>
  </si>
  <si>
    <t xml:space="preserve">73440831F</t>
  </si>
  <si>
    <t xml:space="preserve">isabel.sanz@email.com</t>
  </si>
  <si>
    <t xml:space="preserve">+34 670 926 516</t>
  </si>
  <si>
    <t xml:space="preserve">Portal 4</t>
  </si>
  <si>
    <t xml:space="preserve">Rosa Sánchez Sánchez</t>
  </si>
  <si>
    <t xml:space="preserve">98447167J</t>
  </si>
  <si>
    <t xml:space="preserve">rosa.sanchez@email.com</t>
  </si>
  <si>
    <t xml:space="preserve">+34 655 533 520</t>
  </si>
  <si>
    <t xml:space="preserve">Alejandro Fernández Sánchez</t>
  </si>
  <si>
    <t xml:space="preserve">18135295N</t>
  </si>
  <si>
    <t xml:space="preserve">alejandro.fernandez@email.com</t>
  </si>
  <si>
    <t xml:space="preserve">+34 653 919 982</t>
  </si>
  <si>
    <t xml:space="preserve">Carmen Álvarez Hernández</t>
  </si>
  <si>
    <t xml:space="preserve">35529407V</t>
  </si>
  <si>
    <t xml:space="preserve">carmen.alvarez@email.com</t>
  </si>
  <si>
    <t xml:space="preserve">+34 667 243 532</t>
  </si>
  <si>
    <t xml:space="preserve">David Alonso Morales</t>
  </si>
  <si>
    <t xml:space="preserve">43528453W</t>
  </si>
  <si>
    <t xml:space="preserve">david.alonso@email.com</t>
  </si>
  <si>
    <t xml:space="preserve">+34 666 927 982</t>
  </si>
  <si>
    <t xml:space="preserve">Blanca Marín Sánchez</t>
  </si>
  <si>
    <t xml:space="preserve">16789850C</t>
  </si>
  <si>
    <t xml:space="preserve">blanca.marin@email.com</t>
  </si>
  <si>
    <t xml:space="preserve">+34 679 956 115</t>
  </si>
  <si>
    <t xml:space="preserve">Antonio Álvarez Jiménez</t>
  </si>
  <si>
    <t xml:space="preserve">64547971S</t>
  </si>
  <si>
    <t xml:space="preserve">antonio.alvarez@email.com</t>
  </si>
  <si>
    <t xml:space="preserve">+34 671 318 985</t>
  </si>
  <si>
    <t xml:space="preserve">Diego Fernández Jiménez</t>
  </si>
  <si>
    <t xml:space="preserve">60864911T</t>
  </si>
  <si>
    <t xml:space="preserve">diego.fernandez@email.com</t>
  </si>
  <si>
    <t xml:space="preserve">+34 659 371 902</t>
  </si>
  <si>
    <t xml:space="preserve">Sonia Morales Gutiérrez</t>
  </si>
  <si>
    <t xml:space="preserve">66775103E</t>
  </si>
  <si>
    <t xml:space="preserve">sonia.morales@email.com</t>
  </si>
  <si>
    <t xml:space="preserve">+34 681 777 835</t>
  </si>
  <si>
    <t xml:space="preserve">Portal 5</t>
  </si>
  <si>
    <t xml:space="preserve">Óscar Martín Hernández</t>
  </si>
  <si>
    <t xml:space="preserve">49823450Y</t>
  </si>
  <si>
    <t xml:space="preserve">oscar.martin@email.com</t>
  </si>
  <si>
    <t xml:space="preserve">+34 617 693 853</t>
  </si>
  <si>
    <t xml:space="preserve">Teresa Fernández Torres</t>
  </si>
  <si>
    <t xml:space="preserve">17672593R</t>
  </si>
  <si>
    <t xml:space="preserve">teresa.fernandez@email.com</t>
  </si>
  <si>
    <t xml:space="preserve">+34 684 588 614</t>
  </si>
  <si>
    <t xml:space="preserve">Paloma Ortiz Jiménez</t>
  </si>
  <si>
    <t xml:space="preserve">17634247Q</t>
  </si>
  <si>
    <t xml:space="preserve">paloma.ortiz@email.com</t>
  </si>
  <si>
    <t xml:space="preserve">+34 620 971 290</t>
  </si>
  <si>
    <t xml:space="preserve">Laura Iglesias López</t>
  </si>
  <si>
    <t xml:space="preserve">41568532N</t>
  </si>
  <si>
    <t xml:space="preserve">laura.iglesias@email.com</t>
  </si>
  <si>
    <t xml:space="preserve">+34 625 683 352</t>
  </si>
  <si>
    <t xml:space="preserve">Roberto Iglesias García</t>
  </si>
  <si>
    <t xml:space="preserve">93131979W</t>
  </si>
  <si>
    <t xml:space="preserve">roberto.iglesias@email.com</t>
  </si>
  <si>
    <t xml:space="preserve">+34 663 773 697</t>
  </si>
  <si>
    <t xml:space="preserve">Victoria Ortiz Torres</t>
  </si>
  <si>
    <t xml:space="preserve">44999379Y</t>
  </si>
  <si>
    <t xml:space="preserve">victoria.ortiz@email.com</t>
  </si>
  <si>
    <t xml:space="preserve">+34 695 833 421</t>
  </si>
  <si>
    <t xml:space="preserve">Miguel Romero Serrano</t>
  </si>
  <si>
    <t xml:space="preserve">27566185K</t>
  </si>
  <si>
    <t xml:space="preserve">miguel.romero@email.com</t>
  </si>
  <si>
    <t xml:space="preserve">+34 692 407 568</t>
  </si>
  <si>
    <t xml:space="preserve">Sara López González</t>
  </si>
  <si>
    <t xml:space="preserve">71510041L</t>
  </si>
  <si>
    <t xml:space="preserve">sara.lopez@email.com</t>
  </si>
  <si>
    <t xml:space="preserve">+34 682 202 175</t>
  </si>
  <si>
    <t xml:space="preserve">Portal 6</t>
  </si>
  <si>
    <t xml:space="preserve">Teresa Díaz Castro</t>
  </si>
  <si>
    <t xml:space="preserve">45594597G</t>
  </si>
  <si>
    <t xml:space="preserve">teresa.diaz@email.com</t>
  </si>
  <si>
    <t xml:space="preserve">+34 654 170 350</t>
  </si>
  <si>
    <t xml:space="preserve">Pablo Gutiérrez Jiménez</t>
  </si>
  <si>
    <t xml:space="preserve">68812137V</t>
  </si>
  <si>
    <t xml:space="preserve">pablo.gutierrez@email.com</t>
  </si>
  <si>
    <t xml:space="preserve">+34 648 726 926</t>
  </si>
  <si>
    <t xml:space="preserve">Adrián Ortiz González</t>
  </si>
  <si>
    <t xml:space="preserve">99639081V</t>
  </si>
  <si>
    <t xml:space="preserve">adrian.ortiz@email.com</t>
  </si>
  <si>
    <t xml:space="preserve">+34 648 779 206</t>
  </si>
  <si>
    <t xml:space="preserve">Marina Gómez Romero</t>
  </si>
  <si>
    <t xml:space="preserve">25492573A</t>
  </si>
  <si>
    <t xml:space="preserve">marina.gomez@email.com</t>
  </si>
  <si>
    <t xml:space="preserve">+34 680 259 378</t>
  </si>
  <si>
    <t xml:space="preserve">Elena Iglesias Díaz</t>
  </si>
  <si>
    <t xml:space="preserve">56020613Y</t>
  </si>
  <si>
    <t xml:space="preserve">elena.iglesias@email.com</t>
  </si>
  <si>
    <t xml:space="preserve">+34 697 749 973</t>
  </si>
  <si>
    <t xml:space="preserve">Cristina Castro Delgado</t>
  </si>
  <si>
    <t xml:space="preserve">43704923R</t>
  </si>
  <si>
    <t xml:space="preserve">cristina.castro@email.com</t>
  </si>
  <si>
    <t xml:space="preserve">+34 621 749 533</t>
  </si>
  <si>
    <t xml:space="preserve">Ramón Alonso García</t>
  </si>
  <si>
    <t xml:space="preserve">10475894X</t>
  </si>
  <si>
    <t xml:space="preserve">ramon.alonso@email.com</t>
  </si>
  <si>
    <t xml:space="preserve">+34 626 752 368</t>
  </si>
  <si>
    <t xml:space="preserve">Pilar Molina Marín</t>
  </si>
  <si>
    <t xml:space="preserve">67403166V</t>
  </si>
  <si>
    <t xml:space="preserve">pilar.molina@email.com</t>
  </si>
  <si>
    <t xml:space="preserve">+34 611 214 177</t>
  </si>
  <si>
    <t xml:space="preserve">Portal 7</t>
  </si>
  <si>
    <t xml:space="preserve">Marina Martín Rubio</t>
  </si>
  <si>
    <t xml:space="preserve">14835614B</t>
  </si>
  <si>
    <t xml:space="preserve">marina.martin@email.com</t>
  </si>
  <si>
    <t xml:space="preserve">+34 684 665 251</t>
  </si>
  <si>
    <t xml:space="preserve">Sergio Gómez García</t>
  </si>
  <si>
    <t xml:space="preserve">51373735B</t>
  </si>
  <si>
    <t xml:space="preserve">sergio.gomez@email.com</t>
  </si>
  <si>
    <t xml:space="preserve">+34 615 466 315</t>
  </si>
  <si>
    <t xml:space="preserve">Ignacio Álvarez Sánchez</t>
  </si>
  <si>
    <t xml:space="preserve">57469942V</t>
  </si>
  <si>
    <t xml:space="preserve">ignacio.alvarez@email.com</t>
  </si>
  <si>
    <t xml:space="preserve">+34 662 735 867</t>
  </si>
  <si>
    <t xml:space="preserve">Francisco Álvarez Jiménez</t>
  </si>
  <si>
    <t xml:space="preserve">33763566J</t>
  </si>
  <si>
    <t xml:space="preserve">francisco.alvarez@email.com</t>
  </si>
  <si>
    <t xml:space="preserve">+34 613 283 854</t>
  </si>
  <si>
    <t xml:space="preserve">Héctor Domínguez Blanco</t>
  </si>
  <si>
    <t xml:space="preserve">99913412F</t>
  </si>
  <si>
    <t xml:space="preserve">hector.dominguez@email.com</t>
  </si>
  <si>
    <t xml:space="preserve">+34 644 263 906</t>
  </si>
  <si>
    <t xml:space="preserve">Eva Sánchez Gil</t>
  </si>
  <si>
    <t xml:space="preserve">15197528S</t>
  </si>
  <si>
    <t xml:space="preserve">eva.sanchez@email.com</t>
  </si>
  <si>
    <t xml:space="preserve">+34 638 304 936</t>
  </si>
  <si>
    <t xml:space="preserve">Paloma Morales Vázquez</t>
  </si>
  <si>
    <t xml:space="preserve">50962024F</t>
  </si>
  <si>
    <t xml:space="preserve">paloma.morales@email.com</t>
  </si>
  <si>
    <t xml:space="preserve">+34 638 124 775</t>
  </si>
  <si>
    <t xml:space="preserve">Rosa Serrano Domínguez</t>
  </si>
  <si>
    <t xml:space="preserve">47393469W</t>
  </si>
  <si>
    <t xml:space="preserve">rosa.serrano@email.com</t>
  </si>
  <si>
    <t xml:space="preserve">+34 645 459 756</t>
  </si>
  <si>
    <t xml:space="preserve">Portal 8</t>
  </si>
  <si>
    <t xml:space="preserve">Raquel Serrano Rubio</t>
  </si>
  <si>
    <t xml:space="preserve">54446182T</t>
  </si>
  <si>
    <t xml:space="preserve">raquel.serrano@email.com</t>
  </si>
  <si>
    <t xml:space="preserve">+34 624 998 367</t>
  </si>
  <si>
    <t xml:space="preserve">David Núñez Romero</t>
  </si>
  <si>
    <t xml:space="preserve">15134794A</t>
  </si>
  <si>
    <t xml:space="preserve">david.nunez@email.com</t>
  </si>
  <si>
    <t xml:space="preserve">+34 686 544 453</t>
  </si>
  <si>
    <t xml:space="preserve">Alicia Torres Suárez</t>
  </si>
  <si>
    <t xml:space="preserve">91363974Q</t>
  </si>
  <si>
    <t xml:space="preserve">alicia.torres@email.com</t>
  </si>
  <si>
    <t xml:space="preserve">+34 624 494 690</t>
  </si>
  <si>
    <t xml:space="preserve">Rosa Romero García</t>
  </si>
  <si>
    <t xml:space="preserve">68526649T</t>
  </si>
  <si>
    <t xml:space="preserve">rosa.romero@email.com</t>
  </si>
  <si>
    <t xml:space="preserve">+34 676 925 651</t>
  </si>
  <si>
    <t xml:space="preserve">Ignacio Hernández Ramos</t>
  </si>
  <si>
    <t xml:space="preserve">67887757W</t>
  </si>
  <si>
    <t xml:space="preserve">ignacio.hernandez@email.com</t>
  </si>
  <si>
    <t xml:space="preserve">+34 695 438 738</t>
  </si>
  <si>
    <t xml:space="preserve">Sara Pérez Navarro</t>
  </si>
  <si>
    <t xml:space="preserve">78064830D</t>
  </si>
  <si>
    <t xml:space="preserve">sara.perez@email.com</t>
  </si>
  <si>
    <t xml:space="preserve">+34 695 518 434</t>
  </si>
  <si>
    <t xml:space="preserve">Diego Gutiérrez Marín</t>
  </si>
  <si>
    <t xml:space="preserve">27084279Y</t>
  </si>
  <si>
    <t xml:space="preserve">diego.gutierrez@email.com</t>
  </si>
  <si>
    <t xml:space="preserve">+34 663 780 488</t>
  </si>
  <si>
    <t xml:space="preserve">Ignacio Ruiz Medina</t>
  </si>
  <si>
    <t xml:space="preserve">86384014D</t>
  </si>
  <si>
    <t xml:space="preserve">ignacio.ruiz@email.com</t>
  </si>
  <si>
    <t xml:space="preserve">+34 661 661 953</t>
  </si>
</sst>
</file>

<file path=xl/styles.xml><?xml version="1.0" encoding="utf-8"?>
<styleSheet xmlns="http://schemas.openxmlformats.org/spreadsheetml/2006/main">
  <numFmts count="3">
    <numFmt numFmtId="164" formatCode="General"/>
    <numFmt numFmtId="165" formatCode="General"/>
    <numFmt numFmtId="166" formatCode="0.00%"/>
  </numFmts>
  <fonts count="10">
    <font>
      <sz val="11"/>
      <color theme="1"/>
      <name val="Calibri"/>
      <family val="2"/>
      <charset val="1"/>
    </font>
    <font>
      <sz val="10"/>
      <name val="Arial"/>
      <family val="0"/>
    </font>
    <font>
      <sz val="10"/>
      <name val="Arial"/>
      <family val="0"/>
    </font>
    <font>
      <sz val="10"/>
      <name val="Arial"/>
      <family val="0"/>
    </font>
    <font>
      <b val="true"/>
      <sz val="14"/>
      <color rgb="FF1F4E3D"/>
      <name val="Arial"/>
      <family val="0"/>
      <charset val="1"/>
    </font>
    <font>
      <i val="true"/>
      <sz val="11"/>
      <color rgb="FF595959"/>
      <name val="Arial"/>
      <family val="0"/>
      <charset val="1"/>
    </font>
    <font>
      <sz val="11"/>
      <name val="Arial"/>
      <family val="0"/>
      <charset val="1"/>
    </font>
    <font>
      <b val="true"/>
      <sz val="12"/>
      <color rgb="FF1F4E3D"/>
      <name val="Arial"/>
      <family val="0"/>
      <charset val="1"/>
    </font>
    <font>
      <b val="true"/>
      <sz val="11"/>
      <color rgb="FFFFFFFF"/>
      <name val="Arial"/>
      <family val="0"/>
      <charset val="1"/>
    </font>
    <font>
      <b val="true"/>
      <sz val="11"/>
      <name val="Arial"/>
      <family val="0"/>
      <charset val="1"/>
    </font>
  </fonts>
  <fills count="4">
    <fill>
      <patternFill patternType="none"/>
    </fill>
    <fill>
      <patternFill patternType="gray125"/>
    </fill>
    <fill>
      <patternFill patternType="solid">
        <fgColor rgb="FF1F4E3D"/>
        <bgColor rgb="FF003366"/>
      </patternFill>
    </fill>
    <fill>
      <patternFill patternType="solid">
        <fgColor rgb="FFF2F7F5"/>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false" indent="0" shrinkToFit="false"/>
      <protection locked="true" hidden="false"/>
    </xf>
    <xf numFmtId="166" fontId="6" fillId="3"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7F5"/>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26.85" hidden="false" customHeight="false" outlineLevel="0" collapsed="false">
      <c r="A5" s="3" t="s">
        <v>3</v>
      </c>
    </row>
    <row r="6" customFormat="false" ht="15" hidden="false" customHeight="false" outlineLevel="0" collapsed="false">
      <c r="A6" s="3"/>
    </row>
    <row r="7" customFormat="false" ht="15" hidden="false" customHeight="false" outlineLevel="0" collapsed="false">
      <c r="A7" s="4" t="s">
        <v>4</v>
      </c>
    </row>
    <row r="8" customFormat="false" ht="15" hidden="false" customHeight="false" outlineLevel="0" collapsed="false">
      <c r="A8" s="3" t="s">
        <v>5</v>
      </c>
    </row>
    <row r="9" customFormat="false" ht="15" hidden="false" customHeight="false" outlineLevel="0" collapsed="false">
      <c r="A9" s="3" t="s">
        <v>6</v>
      </c>
    </row>
    <row r="10" customFormat="false" ht="15" hidden="false" customHeight="false" outlineLevel="0" collapsed="false">
      <c r="A10" s="3" t="s">
        <v>7</v>
      </c>
    </row>
    <row r="11" customFormat="false" ht="26.85" hidden="false" customHeight="false" outlineLevel="0" collapsed="false">
      <c r="A11" s="3" t="s">
        <v>8</v>
      </c>
    </row>
    <row r="12" customFormat="false" ht="15" hidden="false" customHeight="false" outlineLevel="0" collapsed="false">
      <c r="A12" s="3" t="s">
        <v>9</v>
      </c>
    </row>
    <row r="13" customFormat="false" ht="15" hidden="false" customHeight="false" outlineLevel="0" collapsed="false">
      <c r="A13" s="3"/>
    </row>
    <row r="14" customFormat="false" ht="15" hidden="false" customHeight="false" outlineLevel="0" collapsed="false">
      <c r="A14" s="3"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0"/>
    <col collapsed="false" customWidth="true" hidden="false" outlineLevel="0" max="4" min="4" style="0" width="28"/>
    <col collapsed="false" customWidth="true" hidden="false" outlineLevel="0" max="5" min="5" style="0" width="14"/>
    <col collapsed="false" customWidth="true" hidden="false" outlineLevel="0" max="6" min="6" style="0" width="30"/>
    <col collapsed="false" customWidth="true" hidden="false" outlineLevel="0" max="7" min="7" style="0" width="18"/>
    <col collapsed="false" customWidth="true" hidden="false" outlineLevel="0" max="8" min="8" style="0" width="24"/>
    <col collapsed="false" customWidth="true" hidden="false" outlineLevel="0" max="9" min="9" style="0" width="16"/>
    <col collapsed="false" customWidth="true" hidden="false" outlineLevel="0" max="10" min="10" style="0" width="20"/>
    <col collapsed="false" customWidth="true" hidden="false" outlineLevel="0" max="11" min="11" style="0" width="28"/>
    <col collapsed="false" customWidth="true" hidden="false" outlineLevel="0" max="12" min="12" style="0" width="14"/>
  </cols>
  <sheetData>
    <row r="1" customFormat="false" ht="31.5" hidden="false" customHeight="true" outlineLevel="0" collapsed="false">
      <c r="A1" s="5" t="s">
        <v>11</v>
      </c>
      <c r="B1" s="5" t="s">
        <v>12</v>
      </c>
      <c r="C1" s="5" t="s">
        <v>13</v>
      </c>
      <c r="D1" s="5" t="s">
        <v>14</v>
      </c>
      <c r="E1" s="5" t="s">
        <v>15</v>
      </c>
      <c r="F1" s="5" t="s">
        <v>16</v>
      </c>
      <c r="G1" s="5" t="s">
        <v>17</v>
      </c>
      <c r="H1" s="5" t="s">
        <v>18</v>
      </c>
      <c r="I1" s="5" t="s">
        <v>19</v>
      </c>
      <c r="J1" s="5" t="s">
        <v>20</v>
      </c>
      <c r="K1" s="6" t="s">
        <v>21</v>
      </c>
      <c r="L1" s="7" t="n">
        <f aca="false">COUNTA(D2:D65)</f>
        <v>64</v>
      </c>
    </row>
    <row r="2" customFormat="false" ht="15" hidden="false" customHeight="false" outlineLevel="0" collapsed="false">
      <c r="A2" s="8" t="s">
        <v>22</v>
      </c>
      <c r="B2" s="8" t="s">
        <v>23</v>
      </c>
      <c r="C2" s="8" t="s">
        <v>24</v>
      </c>
      <c r="D2" s="9" t="s">
        <v>25</v>
      </c>
      <c r="E2" s="9" t="s">
        <v>26</v>
      </c>
      <c r="F2" s="9" t="s">
        <v>27</v>
      </c>
      <c r="G2" s="9" t="s">
        <v>28</v>
      </c>
      <c r="H2" s="10" t="n">
        <v>0.015625</v>
      </c>
      <c r="I2" s="8" t="s">
        <v>29</v>
      </c>
      <c r="J2" s="9"/>
      <c r="K2" s="6" t="s">
        <v>30</v>
      </c>
      <c r="L2" s="11" t="n">
        <f aca="false">SUM(H2:H65)</f>
        <v>1</v>
      </c>
    </row>
    <row r="3" customFormat="false" ht="15" hidden="false" customHeight="false" outlineLevel="0" collapsed="false">
      <c r="A3" s="8" t="s">
        <v>22</v>
      </c>
      <c r="B3" s="8" t="s">
        <v>23</v>
      </c>
      <c r="C3" s="8" t="s">
        <v>31</v>
      </c>
      <c r="D3" s="9" t="s">
        <v>32</v>
      </c>
      <c r="E3" s="9" t="s">
        <v>33</v>
      </c>
      <c r="F3" s="9" t="s">
        <v>34</v>
      </c>
      <c r="G3" s="9" t="s">
        <v>35</v>
      </c>
      <c r="H3" s="10" t="n">
        <v>0.015625</v>
      </c>
      <c r="I3" s="8" t="s">
        <v>29</v>
      </c>
      <c r="J3" s="9"/>
      <c r="K3" s="6" t="s">
        <v>36</v>
      </c>
      <c r="L3" s="7" t="n">
        <v>8</v>
      </c>
    </row>
    <row r="4" customFormat="false" ht="15" hidden="false" customHeight="false" outlineLevel="0" collapsed="false">
      <c r="A4" s="8" t="s">
        <v>22</v>
      </c>
      <c r="B4" s="8" t="s">
        <v>23</v>
      </c>
      <c r="C4" s="8" t="s">
        <v>37</v>
      </c>
      <c r="D4" s="9" t="s">
        <v>38</v>
      </c>
      <c r="E4" s="9" t="s">
        <v>39</v>
      </c>
      <c r="F4" s="9" t="s">
        <v>40</v>
      </c>
      <c r="G4" s="9" t="s">
        <v>41</v>
      </c>
      <c r="H4" s="10" t="n">
        <v>0.015625</v>
      </c>
      <c r="I4" s="8" t="s">
        <v>42</v>
      </c>
      <c r="J4" s="9"/>
    </row>
    <row r="5" customFormat="false" ht="15" hidden="false" customHeight="false" outlineLevel="0" collapsed="false">
      <c r="A5" s="8" t="s">
        <v>22</v>
      </c>
      <c r="B5" s="8" t="s">
        <v>43</v>
      </c>
      <c r="C5" s="8" t="s">
        <v>24</v>
      </c>
      <c r="D5" s="9" t="s">
        <v>44</v>
      </c>
      <c r="E5" s="9" t="s">
        <v>45</v>
      </c>
      <c r="F5" s="9" t="s">
        <v>46</v>
      </c>
      <c r="G5" s="9" t="s">
        <v>47</v>
      </c>
      <c r="H5" s="10" t="n">
        <v>0.015625</v>
      </c>
      <c r="I5" s="8" t="s">
        <v>29</v>
      </c>
      <c r="J5" s="9"/>
    </row>
    <row r="6" customFormat="false" ht="15" hidden="false" customHeight="false" outlineLevel="0" collapsed="false">
      <c r="A6" s="8" t="s">
        <v>22</v>
      </c>
      <c r="B6" s="8" t="s">
        <v>43</v>
      </c>
      <c r="C6" s="8" t="s">
        <v>31</v>
      </c>
      <c r="D6" s="9" t="s">
        <v>48</v>
      </c>
      <c r="E6" s="9" t="s">
        <v>49</v>
      </c>
      <c r="F6" s="9" t="s">
        <v>50</v>
      </c>
      <c r="G6" s="9" t="s">
        <v>51</v>
      </c>
      <c r="H6" s="10" t="n">
        <v>0.015625</v>
      </c>
      <c r="I6" s="8" t="s">
        <v>29</v>
      </c>
      <c r="J6" s="9"/>
    </row>
    <row r="7" customFormat="false" ht="15" hidden="false" customHeight="false" outlineLevel="0" collapsed="false">
      <c r="A7" s="8" t="s">
        <v>22</v>
      </c>
      <c r="B7" s="8" t="s">
        <v>43</v>
      </c>
      <c r="C7" s="8" t="s">
        <v>37</v>
      </c>
      <c r="D7" s="9" t="s">
        <v>52</v>
      </c>
      <c r="E7" s="9" t="s">
        <v>53</v>
      </c>
      <c r="F7" s="9" t="s">
        <v>54</v>
      </c>
      <c r="G7" s="9" t="s">
        <v>55</v>
      </c>
      <c r="H7" s="10" t="n">
        <v>0.015625</v>
      </c>
      <c r="I7" s="8" t="s">
        <v>29</v>
      </c>
      <c r="J7" s="9"/>
    </row>
    <row r="8" customFormat="false" ht="15" hidden="false" customHeight="false" outlineLevel="0" collapsed="false">
      <c r="A8" s="8" t="s">
        <v>22</v>
      </c>
      <c r="B8" s="8" t="s">
        <v>56</v>
      </c>
      <c r="C8" s="8" t="s">
        <v>24</v>
      </c>
      <c r="D8" s="9" t="s">
        <v>57</v>
      </c>
      <c r="E8" s="9" t="s">
        <v>58</v>
      </c>
      <c r="F8" s="9" t="s">
        <v>59</v>
      </c>
      <c r="G8" s="9" t="s">
        <v>60</v>
      </c>
      <c r="H8" s="10" t="n">
        <v>0.015625</v>
      </c>
      <c r="I8" s="8" t="s">
        <v>29</v>
      </c>
      <c r="J8" s="9"/>
    </row>
    <row r="9" customFormat="false" ht="15" hidden="false" customHeight="false" outlineLevel="0" collapsed="false">
      <c r="A9" s="8" t="s">
        <v>22</v>
      </c>
      <c r="B9" s="8" t="s">
        <v>56</v>
      </c>
      <c r="C9" s="8" t="s">
        <v>31</v>
      </c>
      <c r="D9" s="9" t="s">
        <v>61</v>
      </c>
      <c r="E9" s="9" t="s">
        <v>62</v>
      </c>
      <c r="F9" s="9" t="s">
        <v>63</v>
      </c>
      <c r="G9" s="9" t="s">
        <v>64</v>
      </c>
      <c r="H9" s="10" t="n">
        <v>0.015625</v>
      </c>
      <c r="I9" s="8" t="s">
        <v>29</v>
      </c>
      <c r="J9" s="9"/>
    </row>
    <row r="10" customFormat="false" ht="15" hidden="false" customHeight="false" outlineLevel="0" collapsed="false">
      <c r="A10" s="12" t="s">
        <v>65</v>
      </c>
      <c r="B10" s="12" t="s">
        <v>23</v>
      </c>
      <c r="C10" s="12" t="s">
        <v>24</v>
      </c>
      <c r="D10" s="13" t="s">
        <v>66</v>
      </c>
      <c r="E10" s="13" t="s">
        <v>67</v>
      </c>
      <c r="F10" s="13" t="s">
        <v>68</v>
      </c>
      <c r="G10" s="13" t="s">
        <v>69</v>
      </c>
      <c r="H10" s="14" t="n">
        <v>0.015625</v>
      </c>
      <c r="I10" s="12" t="s">
        <v>29</v>
      </c>
      <c r="J10" s="13"/>
    </row>
    <row r="11" customFormat="false" ht="15" hidden="false" customHeight="false" outlineLevel="0" collapsed="false">
      <c r="A11" s="12" t="s">
        <v>65</v>
      </c>
      <c r="B11" s="12" t="s">
        <v>23</v>
      </c>
      <c r="C11" s="12" t="s">
        <v>31</v>
      </c>
      <c r="D11" s="13" t="s">
        <v>70</v>
      </c>
      <c r="E11" s="13" t="s">
        <v>71</v>
      </c>
      <c r="F11" s="13" t="s">
        <v>72</v>
      </c>
      <c r="G11" s="13" t="s">
        <v>73</v>
      </c>
      <c r="H11" s="14" t="n">
        <v>0.015625</v>
      </c>
      <c r="I11" s="12" t="s">
        <v>29</v>
      </c>
      <c r="J11" s="13"/>
    </row>
    <row r="12" customFormat="false" ht="15" hidden="false" customHeight="false" outlineLevel="0" collapsed="false">
      <c r="A12" s="12" t="s">
        <v>65</v>
      </c>
      <c r="B12" s="12" t="s">
        <v>23</v>
      </c>
      <c r="C12" s="12" t="s">
        <v>37</v>
      </c>
      <c r="D12" s="13" t="s">
        <v>74</v>
      </c>
      <c r="E12" s="13" t="s">
        <v>75</v>
      </c>
      <c r="F12" s="13" t="s">
        <v>76</v>
      </c>
      <c r="G12" s="13" t="s">
        <v>77</v>
      </c>
      <c r="H12" s="14" t="n">
        <v>0.015625</v>
      </c>
      <c r="I12" s="12" t="s">
        <v>29</v>
      </c>
      <c r="J12" s="13"/>
    </row>
    <row r="13" customFormat="false" ht="15" hidden="false" customHeight="false" outlineLevel="0" collapsed="false">
      <c r="A13" s="12" t="s">
        <v>65</v>
      </c>
      <c r="B13" s="12" t="s">
        <v>43</v>
      </c>
      <c r="C13" s="12" t="s">
        <v>24</v>
      </c>
      <c r="D13" s="13" t="s">
        <v>78</v>
      </c>
      <c r="E13" s="13" t="s">
        <v>79</v>
      </c>
      <c r="F13" s="13" t="s">
        <v>80</v>
      </c>
      <c r="G13" s="13" t="s">
        <v>81</v>
      </c>
      <c r="H13" s="14" t="n">
        <v>0.015625</v>
      </c>
      <c r="I13" s="12" t="s">
        <v>29</v>
      </c>
      <c r="J13" s="13"/>
    </row>
    <row r="14" customFormat="false" ht="15" hidden="false" customHeight="false" outlineLevel="0" collapsed="false">
      <c r="A14" s="12" t="s">
        <v>65</v>
      </c>
      <c r="B14" s="12" t="s">
        <v>43</v>
      </c>
      <c r="C14" s="12" t="s">
        <v>31</v>
      </c>
      <c r="D14" s="13" t="s">
        <v>82</v>
      </c>
      <c r="E14" s="13" t="s">
        <v>83</v>
      </c>
      <c r="F14" s="13" t="s">
        <v>84</v>
      </c>
      <c r="G14" s="13" t="s">
        <v>85</v>
      </c>
      <c r="H14" s="14" t="n">
        <v>0.015625</v>
      </c>
      <c r="I14" s="12" t="s">
        <v>29</v>
      </c>
      <c r="J14" s="13"/>
    </row>
    <row r="15" customFormat="false" ht="15" hidden="false" customHeight="false" outlineLevel="0" collapsed="false">
      <c r="A15" s="12" t="s">
        <v>65</v>
      </c>
      <c r="B15" s="12" t="s">
        <v>43</v>
      </c>
      <c r="C15" s="12" t="s">
        <v>37</v>
      </c>
      <c r="D15" s="13" t="s">
        <v>86</v>
      </c>
      <c r="E15" s="13" t="s">
        <v>87</v>
      </c>
      <c r="F15" s="13" t="s">
        <v>88</v>
      </c>
      <c r="G15" s="13" t="s">
        <v>89</v>
      </c>
      <c r="H15" s="14" t="n">
        <v>0.015625</v>
      </c>
      <c r="I15" s="12" t="s">
        <v>42</v>
      </c>
      <c r="J15" s="13"/>
    </row>
    <row r="16" customFormat="false" ht="15" hidden="false" customHeight="false" outlineLevel="0" collapsed="false">
      <c r="A16" s="12" t="s">
        <v>65</v>
      </c>
      <c r="B16" s="12" t="s">
        <v>56</v>
      </c>
      <c r="C16" s="12" t="s">
        <v>24</v>
      </c>
      <c r="D16" s="13" t="s">
        <v>90</v>
      </c>
      <c r="E16" s="13" t="s">
        <v>91</v>
      </c>
      <c r="F16" s="13" t="s">
        <v>92</v>
      </c>
      <c r="G16" s="13" t="s">
        <v>93</v>
      </c>
      <c r="H16" s="14" t="n">
        <v>0.015625</v>
      </c>
      <c r="I16" s="12" t="s">
        <v>42</v>
      </c>
      <c r="J16" s="13"/>
    </row>
    <row r="17" customFormat="false" ht="15" hidden="false" customHeight="false" outlineLevel="0" collapsed="false">
      <c r="A17" s="12" t="s">
        <v>65</v>
      </c>
      <c r="B17" s="12" t="s">
        <v>56</v>
      </c>
      <c r="C17" s="12" t="s">
        <v>31</v>
      </c>
      <c r="D17" s="13" t="s">
        <v>94</v>
      </c>
      <c r="E17" s="13" t="s">
        <v>95</v>
      </c>
      <c r="F17" s="13" t="s">
        <v>96</v>
      </c>
      <c r="G17" s="13" t="s">
        <v>97</v>
      </c>
      <c r="H17" s="14" t="n">
        <v>0.015625</v>
      </c>
      <c r="I17" s="12" t="s">
        <v>29</v>
      </c>
      <c r="J17" s="13"/>
    </row>
    <row r="18" customFormat="false" ht="15" hidden="false" customHeight="false" outlineLevel="0" collapsed="false">
      <c r="A18" s="8" t="s">
        <v>98</v>
      </c>
      <c r="B18" s="8" t="s">
        <v>23</v>
      </c>
      <c r="C18" s="8" t="s">
        <v>24</v>
      </c>
      <c r="D18" s="9" t="s">
        <v>99</v>
      </c>
      <c r="E18" s="9" t="s">
        <v>100</v>
      </c>
      <c r="F18" s="9" t="s">
        <v>101</v>
      </c>
      <c r="G18" s="9" t="s">
        <v>102</v>
      </c>
      <c r="H18" s="10" t="n">
        <v>0.015625</v>
      </c>
      <c r="I18" s="8" t="s">
        <v>29</v>
      </c>
      <c r="J18" s="9"/>
    </row>
    <row r="19" customFormat="false" ht="15" hidden="false" customHeight="false" outlineLevel="0" collapsed="false">
      <c r="A19" s="8" t="s">
        <v>98</v>
      </c>
      <c r="B19" s="8" t="s">
        <v>23</v>
      </c>
      <c r="C19" s="8" t="s">
        <v>31</v>
      </c>
      <c r="D19" s="9" t="s">
        <v>103</v>
      </c>
      <c r="E19" s="9" t="s">
        <v>104</v>
      </c>
      <c r="F19" s="9" t="s">
        <v>105</v>
      </c>
      <c r="G19" s="9" t="s">
        <v>106</v>
      </c>
      <c r="H19" s="10" t="n">
        <v>0.015625</v>
      </c>
      <c r="I19" s="8" t="s">
        <v>29</v>
      </c>
      <c r="J19" s="9"/>
    </row>
    <row r="20" customFormat="false" ht="15" hidden="false" customHeight="false" outlineLevel="0" collapsed="false">
      <c r="A20" s="8" t="s">
        <v>98</v>
      </c>
      <c r="B20" s="8" t="s">
        <v>23</v>
      </c>
      <c r="C20" s="8" t="s">
        <v>37</v>
      </c>
      <c r="D20" s="9" t="s">
        <v>107</v>
      </c>
      <c r="E20" s="9" t="s">
        <v>108</v>
      </c>
      <c r="F20" s="9" t="s">
        <v>109</v>
      </c>
      <c r="G20" s="9" t="s">
        <v>110</v>
      </c>
      <c r="H20" s="10" t="n">
        <v>0.015625</v>
      </c>
      <c r="I20" s="8" t="s">
        <v>29</v>
      </c>
      <c r="J20" s="9"/>
    </row>
    <row r="21" customFormat="false" ht="15" hidden="false" customHeight="false" outlineLevel="0" collapsed="false">
      <c r="A21" s="8" t="s">
        <v>98</v>
      </c>
      <c r="B21" s="8" t="s">
        <v>43</v>
      </c>
      <c r="C21" s="8" t="s">
        <v>24</v>
      </c>
      <c r="D21" s="9" t="s">
        <v>111</v>
      </c>
      <c r="E21" s="9" t="s">
        <v>112</v>
      </c>
      <c r="F21" s="9" t="s">
        <v>113</v>
      </c>
      <c r="G21" s="9" t="s">
        <v>114</v>
      </c>
      <c r="H21" s="10" t="n">
        <v>0.015625</v>
      </c>
      <c r="I21" s="8" t="s">
        <v>42</v>
      </c>
      <c r="J21" s="9"/>
    </row>
    <row r="22" customFormat="false" ht="15" hidden="false" customHeight="false" outlineLevel="0" collapsed="false">
      <c r="A22" s="8" t="s">
        <v>98</v>
      </c>
      <c r="B22" s="8" t="s">
        <v>43</v>
      </c>
      <c r="C22" s="8" t="s">
        <v>31</v>
      </c>
      <c r="D22" s="9" t="s">
        <v>115</v>
      </c>
      <c r="E22" s="9" t="s">
        <v>116</v>
      </c>
      <c r="F22" s="9" t="s">
        <v>117</v>
      </c>
      <c r="G22" s="9" t="s">
        <v>118</v>
      </c>
      <c r="H22" s="10" t="n">
        <v>0.015625</v>
      </c>
      <c r="I22" s="8" t="s">
        <v>29</v>
      </c>
      <c r="J22" s="9"/>
    </row>
    <row r="23" customFormat="false" ht="15" hidden="false" customHeight="false" outlineLevel="0" collapsed="false">
      <c r="A23" s="8" t="s">
        <v>98</v>
      </c>
      <c r="B23" s="8" t="s">
        <v>43</v>
      </c>
      <c r="C23" s="8" t="s">
        <v>37</v>
      </c>
      <c r="D23" s="9" t="s">
        <v>119</v>
      </c>
      <c r="E23" s="9" t="s">
        <v>120</v>
      </c>
      <c r="F23" s="9" t="s">
        <v>121</v>
      </c>
      <c r="G23" s="9" t="s">
        <v>122</v>
      </c>
      <c r="H23" s="10" t="n">
        <v>0.015625</v>
      </c>
      <c r="I23" s="8" t="s">
        <v>29</v>
      </c>
      <c r="J23" s="9"/>
    </row>
    <row r="24" customFormat="false" ht="15" hidden="false" customHeight="false" outlineLevel="0" collapsed="false">
      <c r="A24" s="8" t="s">
        <v>98</v>
      </c>
      <c r="B24" s="8" t="s">
        <v>56</v>
      </c>
      <c r="C24" s="8" t="s">
        <v>24</v>
      </c>
      <c r="D24" s="9" t="s">
        <v>123</v>
      </c>
      <c r="E24" s="9" t="s">
        <v>124</v>
      </c>
      <c r="F24" s="9" t="s">
        <v>125</v>
      </c>
      <c r="G24" s="9" t="s">
        <v>126</v>
      </c>
      <c r="H24" s="10" t="n">
        <v>0.015625</v>
      </c>
      <c r="I24" s="8" t="s">
        <v>29</v>
      </c>
      <c r="J24" s="9"/>
    </row>
    <row r="25" customFormat="false" ht="15" hidden="false" customHeight="false" outlineLevel="0" collapsed="false">
      <c r="A25" s="8" t="s">
        <v>98</v>
      </c>
      <c r="B25" s="8" t="s">
        <v>56</v>
      </c>
      <c r="C25" s="8" t="s">
        <v>31</v>
      </c>
      <c r="D25" s="9" t="s">
        <v>127</v>
      </c>
      <c r="E25" s="9" t="s">
        <v>128</v>
      </c>
      <c r="F25" s="9" t="s">
        <v>129</v>
      </c>
      <c r="G25" s="9" t="s">
        <v>130</v>
      </c>
      <c r="H25" s="10" t="n">
        <v>0.015625</v>
      </c>
      <c r="I25" s="8" t="s">
        <v>29</v>
      </c>
      <c r="J25" s="9"/>
    </row>
    <row r="26" customFormat="false" ht="15" hidden="false" customHeight="false" outlineLevel="0" collapsed="false">
      <c r="A26" s="12" t="s">
        <v>131</v>
      </c>
      <c r="B26" s="12" t="s">
        <v>23</v>
      </c>
      <c r="C26" s="12" t="s">
        <v>24</v>
      </c>
      <c r="D26" s="13" t="s">
        <v>132</v>
      </c>
      <c r="E26" s="13" t="s">
        <v>133</v>
      </c>
      <c r="F26" s="13" t="s">
        <v>134</v>
      </c>
      <c r="G26" s="13" t="s">
        <v>135</v>
      </c>
      <c r="H26" s="14" t="n">
        <v>0.015625</v>
      </c>
      <c r="I26" s="12" t="s">
        <v>29</v>
      </c>
      <c r="J26" s="13"/>
    </row>
    <row r="27" customFormat="false" ht="15" hidden="false" customHeight="false" outlineLevel="0" collapsed="false">
      <c r="A27" s="12" t="s">
        <v>131</v>
      </c>
      <c r="B27" s="12" t="s">
        <v>23</v>
      </c>
      <c r="C27" s="12" t="s">
        <v>31</v>
      </c>
      <c r="D27" s="13" t="s">
        <v>136</v>
      </c>
      <c r="E27" s="13" t="s">
        <v>137</v>
      </c>
      <c r="F27" s="13" t="s">
        <v>138</v>
      </c>
      <c r="G27" s="13" t="s">
        <v>139</v>
      </c>
      <c r="H27" s="14" t="n">
        <v>0.015625</v>
      </c>
      <c r="I27" s="12" t="s">
        <v>29</v>
      </c>
      <c r="J27" s="13"/>
    </row>
    <row r="28" customFormat="false" ht="15" hidden="false" customHeight="false" outlineLevel="0" collapsed="false">
      <c r="A28" s="12" t="s">
        <v>131</v>
      </c>
      <c r="B28" s="12" t="s">
        <v>23</v>
      </c>
      <c r="C28" s="12" t="s">
        <v>37</v>
      </c>
      <c r="D28" s="13" t="s">
        <v>140</v>
      </c>
      <c r="E28" s="13" t="s">
        <v>141</v>
      </c>
      <c r="F28" s="13" t="s">
        <v>142</v>
      </c>
      <c r="G28" s="13" t="s">
        <v>143</v>
      </c>
      <c r="H28" s="14" t="n">
        <v>0.015625</v>
      </c>
      <c r="I28" s="12" t="s">
        <v>42</v>
      </c>
      <c r="J28" s="13"/>
    </row>
    <row r="29" customFormat="false" ht="15" hidden="false" customHeight="false" outlineLevel="0" collapsed="false">
      <c r="A29" s="12" t="s">
        <v>131</v>
      </c>
      <c r="B29" s="12" t="s">
        <v>43</v>
      </c>
      <c r="C29" s="12" t="s">
        <v>24</v>
      </c>
      <c r="D29" s="13" t="s">
        <v>144</v>
      </c>
      <c r="E29" s="13" t="s">
        <v>145</v>
      </c>
      <c r="F29" s="13" t="s">
        <v>146</v>
      </c>
      <c r="G29" s="13" t="s">
        <v>147</v>
      </c>
      <c r="H29" s="14" t="n">
        <v>0.015625</v>
      </c>
      <c r="I29" s="12" t="s">
        <v>29</v>
      </c>
      <c r="J29" s="13"/>
    </row>
    <row r="30" customFormat="false" ht="15" hidden="false" customHeight="false" outlineLevel="0" collapsed="false">
      <c r="A30" s="12" t="s">
        <v>131</v>
      </c>
      <c r="B30" s="12" t="s">
        <v>43</v>
      </c>
      <c r="C30" s="12" t="s">
        <v>31</v>
      </c>
      <c r="D30" s="13" t="s">
        <v>148</v>
      </c>
      <c r="E30" s="13" t="s">
        <v>149</v>
      </c>
      <c r="F30" s="13" t="s">
        <v>150</v>
      </c>
      <c r="G30" s="13" t="s">
        <v>151</v>
      </c>
      <c r="H30" s="14" t="n">
        <v>0.015625</v>
      </c>
      <c r="I30" s="12" t="s">
        <v>29</v>
      </c>
      <c r="J30" s="13"/>
    </row>
    <row r="31" customFormat="false" ht="15" hidden="false" customHeight="false" outlineLevel="0" collapsed="false">
      <c r="A31" s="12" t="s">
        <v>131</v>
      </c>
      <c r="B31" s="12" t="s">
        <v>43</v>
      </c>
      <c r="C31" s="12" t="s">
        <v>37</v>
      </c>
      <c r="D31" s="13" t="s">
        <v>152</v>
      </c>
      <c r="E31" s="13" t="s">
        <v>153</v>
      </c>
      <c r="F31" s="13" t="s">
        <v>154</v>
      </c>
      <c r="G31" s="13" t="s">
        <v>155</v>
      </c>
      <c r="H31" s="14" t="n">
        <v>0.015625</v>
      </c>
      <c r="I31" s="12" t="s">
        <v>29</v>
      </c>
      <c r="J31" s="13"/>
    </row>
    <row r="32" customFormat="false" ht="15" hidden="false" customHeight="false" outlineLevel="0" collapsed="false">
      <c r="A32" s="12" t="s">
        <v>131</v>
      </c>
      <c r="B32" s="12" t="s">
        <v>56</v>
      </c>
      <c r="C32" s="12" t="s">
        <v>24</v>
      </c>
      <c r="D32" s="13" t="s">
        <v>156</v>
      </c>
      <c r="E32" s="13" t="s">
        <v>157</v>
      </c>
      <c r="F32" s="13" t="s">
        <v>158</v>
      </c>
      <c r="G32" s="13" t="s">
        <v>159</v>
      </c>
      <c r="H32" s="14" t="n">
        <v>0.015625</v>
      </c>
      <c r="I32" s="12" t="s">
        <v>29</v>
      </c>
      <c r="J32" s="13"/>
    </row>
    <row r="33" customFormat="false" ht="15" hidden="false" customHeight="false" outlineLevel="0" collapsed="false">
      <c r="A33" s="12" t="s">
        <v>131</v>
      </c>
      <c r="B33" s="12" t="s">
        <v>56</v>
      </c>
      <c r="C33" s="12" t="s">
        <v>31</v>
      </c>
      <c r="D33" s="13" t="s">
        <v>160</v>
      </c>
      <c r="E33" s="13" t="s">
        <v>161</v>
      </c>
      <c r="F33" s="13" t="s">
        <v>162</v>
      </c>
      <c r="G33" s="13" t="s">
        <v>163</v>
      </c>
      <c r="H33" s="14" t="n">
        <v>0.015625</v>
      </c>
      <c r="I33" s="12" t="s">
        <v>29</v>
      </c>
      <c r="J33" s="13"/>
    </row>
    <row r="34" customFormat="false" ht="15" hidden="false" customHeight="false" outlineLevel="0" collapsed="false">
      <c r="A34" s="8" t="s">
        <v>164</v>
      </c>
      <c r="B34" s="8" t="s">
        <v>23</v>
      </c>
      <c r="C34" s="8" t="s">
        <v>24</v>
      </c>
      <c r="D34" s="9" t="s">
        <v>165</v>
      </c>
      <c r="E34" s="9" t="s">
        <v>166</v>
      </c>
      <c r="F34" s="9" t="s">
        <v>167</v>
      </c>
      <c r="G34" s="9" t="s">
        <v>168</v>
      </c>
      <c r="H34" s="10" t="n">
        <v>0.015625</v>
      </c>
      <c r="I34" s="8" t="s">
        <v>29</v>
      </c>
      <c r="J34" s="9"/>
    </row>
    <row r="35" customFormat="false" ht="15" hidden="false" customHeight="false" outlineLevel="0" collapsed="false">
      <c r="A35" s="8" t="s">
        <v>164</v>
      </c>
      <c r="B35" s="8" t="s">
        <v>23</v>
      </c>
      <c r="C35" s="8" t="s">
        <v>31</v>
      </c>
      <c r="D35" s="9" t="s">
        <v>169</v>
      </c>
      <c r="E35" s="9" t="s">
        <v>170</v>
      </c>
      <c r="F35" s="9" t="s">
        <v>171</v>
      </c>
      <c r="G35" s="9" t="s">
        <v>172</v>
      </c>
      <c r="H35" s="10" t="n">
        <v>0.015625</v>
      </c>
      <c r="I35" s="8" t="s">
        <v>29</v>
      </c>
      <c r="J35" s="9"/>
    </row>
    <row r="36" customFormat="false" ht="15" hidden="false" customHeight="false" outlineLevel="0" collapsed="false">
      <c r="A36" s="8" t="s">
        <v>164</v>
      </c>
      <c r="B36" s="8" t="s">
        <v>23</v>
      </c>
      <c r="C36" s="8" t="s">
        <v>37</v>
      </c>
      <c r="D36" s="9" t="s">
        <v>173</v>
      </c>
      <c r="E36" s="9" t="s">
        <v>174</v>
      </c>
      <c r="F36" s="9" t="s">
        <v>175</v>
      </c>
      <c r="G36" s="9" t="s">
        <v>176</v>
      </c>
      <c r="H36" s="10" t="n">
        <v>0.015625</v>
      </c>
      <c r="I36" s="8" t="s">
        <v>29</v>
      </c>
      <c r="J36" s="9"/>
    </row>
    <row r="37" customFormat="false" ht="15" hidden="false" customHeight="false" outlineLevel="0" collapsed="false">
      <c r="A37" s="8" t="s">
        <v>164</v>
      </c>
      <c r="B37" s="8" t="s">
        <v>43</v>
      </c>
      <c r="C37" s="8" t="s">
        <v>24</v>
      </c>
      <c r="D37" s="9" t="s">
        <v>177</v>
      </c>
      <c r="E37" s="9" t="s">
        <v>178</v>
      </c>
      <c r="F37" s="9" t="s">
        <v>179</v>
      </c>
      <c r="G37" s="9" t="s">
        <v>180</v>
      </c>
      <c r="H37" s="10" t="n">
        <v>0.015625</v>
      </c>
      <c r="I37" s="8" t="s">
        <v>29</v>
      </c>
      <c r="J37" s="9"/>
    </row>
    <row r="38" customFormat="false" ht="15" hidden="false" customHeight="false" outlineLevel="0" collapsed="false">
      <c r="A38" s="8" t="s">
        <v>164</v>
      </c>
      <c r="B38" s="8" t="s">
        <v>43</v>
      </c>
      <c r="C38" s="8" t="s">
        <v>31</v>
      </c>
      <c r="D38" s="9" t="s">
        <v>181</v>
      </c>
      <c r="E38" s="9" t="s">
        <v>182</v>
      </c>
      <c r="F38" s="9" t="s">
        <v>183</v>
      </c>
      <c r="G38" s="9" t="s">
        <v>184</v>
      </c>
      <c r="H38" s="10" t="n">
        <v>0.015625</v>
      </c>
      <c r="I38" s="8" t="s">
        <v>29</v>
      </c>
      <c r="J38" s="9"/>
    </row>
    <row r="39" customFormat="false" ht="15" hidden="false" customHeight="false" outlineLevel="0" collapsed="false">
      <c r="A39" s="8" t="s">
        <v>164</v>
      </c>
      <c r="B39" s="8" t="s">
        <v>43</v>
      </c>
      <c r="C39" s="8" t="s">
        <v>37</v>
      </c>
      <c r="D39" s="9" t="s">
        <v>185</v>
      </c>
      <c r="E39" s="9" t="s">
        <v>186</v>
      </c>
      <c r="F39" s="9" t="s">
        <v>187</v>
      </c>
      <c r="G39" s="9" t="s">
        <v>188</v>
      </c>
      <c r="H39" s="10" t="n">
        <v>0.015625</v>
      </c>
      <c r="I39" s="8" t="s">
        <v>29</v>
      </c>
      <c r="J39" s="9"/>
    </row>
    <row r="40" customFormat="false" ht="15" hidden="false" customHeight="false" outlineLevel="0" collapsed="false">
      <c r="A40" s="8" t="s">
        <v>164</v>
      </c>
      <c r="B40" s="8" t="s">
        <v>56</v>
      </c>
      <c r="C40" s="8" t="s">
        <v>24</v>
      </c>
      <c r="D40" s="9" t="s">
        <v>189</v>
      </c>
      <c r="E40" s="9" t="s">
        <v>190</v>
      </c>
      <c r="F40" s="9" t="s">
        <v>191</v>
      </c>
      <c r="G40" s="9" t="s">
        <v>192</v>
      </c>
      <c r="H40" s="10" t="n">
        <v>0.015625</v>
      </c>
      <c r="I40" s="8" t="s">
        <v>29</v>
      </c>
      <c r="J40" s="9"/>
    </row>
    <row r="41" customFormat="false" ht="15" hidden="false" customHeight="false" outlineLevel="0" collapsed="false">
      <c r="A41" s="8" t="s">
        <v>164</v>
      </c>
      <c r="B41" s="8" t="s">
        <v>56</v>
      </c>
      <c r="C41" s="8" t="s">
        <v>31</v>
      </c>
      <c r="D41" s="9" t="s">
        <v>193</v>
      </c>
      <c r="E41" s="9" t="s">
        <v>194</v>
      </c>
      <c r="F41" s="9" t="s">
        <v>195</v>
      </c>
      <c r="G41" s="9" t="s">
        <v>196</v>
      </c>
      <c r="H41" s="10" t="n">
        <v>0.015625</v>
      </c>
      <c r="I41" s="8" t="s">
        <v>29</v>
      </c>
      <c r="J41" s="9"/>
    </row>
    <row r="42" customFormat="false" ht="15" hidden="false" customHeight="false" outlineLevel="0" collapsed="false">
      <c r="A42" s="12" t="s">
        <v>197</v>
      </c>
      <c r="B42" s="12" t="s">
        <v>23</v>
      </c>
      <c r="C42" s="12" t="s">
        <v>24</v>
      </c>
      <c r="D42" s="13" t="s">
        <v>198</v>
      </c>
      <c r="E42" s="13" t="s">
        <v>199</v>
      </c>
      <c r="F42" s="13" t="s">
        <v>200</v>
      </c>
      <c r="G42" s="13" t="s">
        <v>201</v>
      </c>
      <c r="H42" s="14" t="n">
        <v>0.015625</v>
      </c>
      <c r="I42" s="12" t="s">
        <v>29</v>
      </c>
      <c r="J42" s="13"/>
    </row>
    <row r="43" customFormat="false" ht="15" hidden="false" customHeight="false" outlineLevel="0" collapsed="false">
      <c r="A43" s="12" t="s">
        <v>197</v>
      </c>
      <c r="B43" s="12" t="s">
        <v>23</v>
      </c>
      <c r="C43" s="12" t="s">
        <v>31</v>
      </c>
      <c r="D43" s="13" t="s">
        <v>202</v>
      </c>
      <c r="E43" s="13" t="s">
        <v>203</v>
      </c>
      <c r="F43" s="13" t="s">
        <v>204</v>
      </c>
      <c r="G43" s="13" t="s">
        <v>205</v>
      </c>
      <c r="H43" s="14" t="n">
        <v>0.015625</v>
      </c>
      <c r="I43" s="12" t="s">
        <v>29</v>
      </c>
      <c r="J43" s="13"/>
    </row>
    <row r="44" customFormat="false" ht="15" hidden="false" customHeight="false" outlineLevel="0" collapsed="false">
      <c r="A44" s="12" t="s">
        <v>197</v>
      </c>
      <c r="B44" s="12" t="s">
        <v>23</v>
      </c>
      <c r="C44" s="12" t="s">
        <v>37</v>
      </c>
      <c r="D44" s="13" t="s">
        <v>206</v>
      </c>
      <c r="E44" s="13" t="s">
        <v>207</v>
      </c>
      <c r="F44" s="13" t="s">
        <v>208</v>
      </c>
      <c r="G44" s="13" t="s">
        <v>209</v>
      </c>
      <c r="H44" s="14" t="n">
        <v>0.015625</v>
      </c>
      <c r="I44" s="12" t="s">
        <v>29</v>
      </c>
      <c r="J44" s="13"/>
    </row>
    <row r="45" customFormat="false" ht="15" hidden="false" customHeight="false" outlineLevel="0" collapsed="false">
      <c r="A45" s="12" t="s">
        <v>197</v>
      </c>
      <c r="B45" s="12" t="s">
        <v>43</v>
      </c>
      <c r="C45" s="12" t="s">
        <v>24</v>
      </c>
      <c r="D45" s="13" t="s">
        <v>210</v>
      </c>
      <c r="E45" s="13" t="s">
        <v>211</v>
      </c>
      <c r="F45" s="13" t="s">
        <v>212</v>
      </c>
      <c r="G45" s="13" t="s">
        <v>213</v>
      </c>
      <c r="H45" s="14" t="n">
        <v>0.015625</v>
      </c>
      <c r="I45" s="12" t="s">
        <v>29</v>
      </c>
      <c r="J45" s="13"/>
    </row>
    <row r="46" customFormat="false" ht="15" hidden="false" customHeight="false" outlineLevel="0" collapsed="false">
      <c r="A46" s="12" t="s">
        <v>197</v>
      </c>
      <c r="B46" s="12" t="s">
        <v>43</v>
      </c>
      <c r="C46" s="12" t="s">
        <v>31</v>
      </c>
      <c r="D46" s="13" t="s">
        <v>214</v>
      </c>
      <c r="E46" s="13" t="s">
        <v>215</v>
      </c>
      <c r="F46" s="13" t="s">
        <v>216</v>
      </c>
      <c r="G46" s="13" t="s">
        <v>217</v>
      </c>
      <c r="H46" s="14" t="n">
        <v>0.015625</v>
      </c>
      <c r="I46" s="12" t="s">
        <v>42</v>
      </c>
      <c r="J46" s="13"/>
    </row>
    <row r="47" customFormat="false" ht="15" hidden="false" customHeight="false" outlineLevel="0" collapsed="false">
      <c r="A47" s="12" t="s">
        <v>197</v>
      </c>
      <c r="B47" s="12" t="s">
        <v>43</v>
      </c>
      <c r="C47" s="12" t="s">
        <v>37</v>
      </c>
      <c r="D47" s="13" t="s">
        <v>218</v>
      </c>
      <c r="E47" s="13" t="s">
        <v>219</v>
      </c>
      <c r="F47" s="13" t="s">
        <v>220</v>
      </c>
      <c r="G47" s="13" t="s">
        <v>221</v>
      </c>
      <c r="H47" s="14" t="n">
        <v>0.015625</v>
      </c>
      <c r="I47" s="12" t="s">
        <v>29</v>
      </c>
      <c r="J47" s="13"/>
    </row>
    <row r="48" customFormat="false" ht="15" hidden="false" customHeight="false" outlineLevel="0" collapsed="false">
      <c r="A48" s="12" t="s">
        <v>197</v>
      </c>
      <c r="B48" s="12" t="s">
        <v>56</v>
      </c>
      <c r="C48" s="12" t="s">
        <v>24</v>
      </c>
      <c r="D48" s="13" t="s">
        <v>222</v>
      </c>
      <c r="E48" s="13" t="s">
        <v>223</v>
      </c>
      <c r="F48" s="13" t="s">
        <v>224</v>
      </c>
      <c r="G48" s="13" t="s">
        <v>225</v>
      </c>
      <c r="H48" s="14" t="n">
        <v>0.015625</v>
      </c>
      <c r="I48" s="12" t="s">
        <v>29</v>
      </c>
      <c r="J48" s="13"/>
    </row>
    <row r="49" customFormat="false" ht="15" hidden="false" customHeight="false" outlineLevel="0" collapsed="false">
      <c r="A49" s="12" t="s">
        <v>197</v>
      </c>
      <c r="B49" s="12" t="s">
        <v>56</v>
      </c>
      <c r="C49" s="12" t="s">
        <v>31</v>
      </c>
      <c r="D49" s="13" t="s">
        <v>226</v>
      </c>
      <c r="E49" s="13" t="s">
        <v>227</v>
      </c>
      <c r="F49" s="13" t="s">
        <v>228</v>
      </c>
      <c r="G49" s="13" t="s">
        <v>229</v>
      </c>
      <c r="H49" s="14" t="n">
        <v>0.015625</v>
      </c>
      <c r="I49" s="12" t="s">
        <v>29</v>
      </c>
      <c r="J49" s="13"/>
    </row>
    <row r="50" customFormat="false" ht="15" hidden="false" customHeight="false" outlineLevel="0" collapsed="false">
      <c r="A50" s="8" t="s">
        <v>230</v>
      </c>
      <c r="B50" s="8" t="s">
        <v>23</v>
      </c>
      <c r="C50" s="8" t="s">
        <v>24</v>
      </c>
      <c r="D50" s="9" t="s">
        <v>231</v>
      </c>
      <c r="E50" s="9" t="s">
        <v>232</v>
      </c>
      <c r="F50" s="9" t="s">
        <v>233</v>
      </c>
      <c r="G50" s="9" t="s">
        <v>234</v>
      </c>
      <c r="H50" s="10" t="n">
        <v>0.015625</v>
      </c>
      <c r="I50" s="8" t="s">
        <v>29</v>
      </c>
      <c r="J50" s="9"/>
    </row>
    <row r="51" customFormat="false" ht="15" hidden="false" customHeight="false" outlineLevel="0" collapsed="false">
      <c r="A51" s="8" t="s">
        <v>230</v>
      </c>
      <c r="B51" s="8" t="s">
        <v>23</v>
      </c>
      <c r="C51" s="8" t="s">
        <v>31</v>
      </c>
      <c r="D51" s="9" t="s">
        <v>235</v>
      </c>
      <c r="E51" s="9" t="s">
        <v>236</v>
      </c>
      <c r="F51" s="9" t="s">
        <v>237</v>
      </c>
      <c r="G51" s="9" t="s">
        <v>238</v>
      </c>
      <c r="H51" s="10" t="n">
        <v>0.015625</v>
      </c>
      <c r="I51" s="8" t="s">
        <v>29</v>
      </c>
      <c r="J51" s="9"/>
    </row>
    <row r="52" customFormat="false" ht="15" hidden="false" customHeight="false" outlineLevel="0" collapsed="false">
      <c r="A52" s="8" t="s">
        <v>230</v>
      </c>
      <c r="B52" s="8" t="s">
        <v>23</v>
      </c>
      <c r="C52" s="8" t="s">
        <v>37</v>
      </c>
      <c r="D52" s="9" t="s">
        <v>239</v>
      </c>
      <c r="E52" s="9" t="s">
        <v>240</v>
      </c>
      <c r="F52" s="9" t="s">
        <v>241</v>
      </c>
      <c r="G52" s="9" t="s">
        <v>242</v>
      </c>
      <c r="H52" s="10" t="n">
        <v>0.015625</v>
      </c>
      <c r="I52" s="8" t="s">
        <v>29</v>
      </c>
      <c r="J52" s="9"/>
    </row>
    <row r="53" customFormat="false" ht="15" hidden="false" customHeight="false" outlineLevel="0" collapsed="false">
      <c r="A53" s="8" t="s">
        <v>230</v>
      </c>
      <c r="B53" s="8" t="s">
        <v>43</v>
      </c>
      <c r="C53" s="8" t="s">
        <v>24</v>
      </c>
      <c r="D53" s="9" t="s">
        <v>243</v>
      </c>
      <c r="E53" s="9" t="s">
        <v>244</v>
      </c>
      <c r="F53" s="9" t="s">
        <v>245</v>
      </c>
      <c r="G53" s="9" t="s">
        <v>246</v>
      </c>
      <c r="H53" s="10" t="n">
        <v>0.015625</v>
      </c>
      <c r="I53" s="8" t="s">
        <v>42</v>
      </c>
      <c r="J53" s="9"/>
    </row>
    <row r="54" customFormat="false" ht="15" hidden="false" customHeight="false" outlineLevel="0" collapsed="false">
      <c r="A54" s="8" t="s">
        <v>230</v>
      </c>
      <c r="B54" s="8" t="s">
        <v>43</v>
      </c>
      <c r="C54" s="8" t="s">
        <v>31</v>
      </c>
      <c r="D54" s="9" t="s">
        <v>247</v>
      </c>
      <c r="E54" s="9" t="s">
        <v>248</v>
      </c>
      <c r="F54" s="9" t="s">
        <v>249</v>
      </c>
      <c r="G54" s="9" t="s">
        <v>250</v>
      </c>
      <c r="H54" s="10" t="n">
        <v>0.015625</v>
      </c>
      <c r="I54" s="8" t="s">
        <v>29</v>
      </c>
      <c r="J54" s="9"/>
    </row>
    <row r="55" customFormat="false" ht="15" hidden="false" customHeight="false" outlineLevel="0" collapsed="false">
      <c r="A55" s="8" t="s">
        <v>230</v>
      </c>
      <c r="B55" s="8" t="s">
        <v>43</v>
      </c>
      <c r="C55" s="8" t="s">
        <v>37</v>
      </c>
      <c r="D55" s="9" t="s">
        <v>251</v>
      </c>
      <c r="E55" s="9" t="s">
        <v>252</v>
      </c>
      <c r="F55" s="9" t="s">
        <v>253</v>
      </c>
      <c r="G55" s="9" t="s">
        <v>254</v>
      </c>
      <c r="H55" s="10" t="n">
        <v>0.015625</v>
      </c>
      <c r="I55" s="8" t="s">
        <v>29</v>
      </c>
      <c r="J55" s="9"/>
    </row>
    <row r="56" customFormat="false" ht="15" hidden="false" customHeight="false" outlineLevel="0" collapsed="false">
      <c r="A56" s="8" t="s">
        <v>230</v>
      </c>
      <c r="B56" s="8" t="s">
        <v>56</v>
      </c>
      <c r="C56" s="8" t="s">
        <v>24</v>
      </c>
      <c r="D56" s="9" t="s">
        <v>255</v>
      </c>
      <c r="E56" s="9" t="s">
        <v>256</v>
      </c>
      <c r="F56" s="9" t="s">
        <v>257</v>
      </c>
      <c r="G56" s="9" t="s">
        <v>258</v>
      </c>
      <c r="H56" s="10" t="n">
        <v>0.015625</v>
      </c>
      <c r="I56" s="8" t="s">
        <v>29</v>
      </c>
      <c r="J56" s="9"/>
    </row>
    <row r="57" customFormat="false" ht="15" hidden="false" customHeight="false" outlineLevel="0" collapsed="false">
      <c r="A57" s="8" t="s">
        <v>230</v>
      </c>
      <c r="B57" s="8" t="s">
        <v>56</v>
      </c>
      <c r="C57" s="8" t="s">
        <v>31</v>
      </c>
      <c r="D57" s="9" t="s">
        <v>259</v>
      </c>
      <c r="E57" s="9" t="s">
        <v>260</v>
      </c>
      <c r="F57" s="9" t="s">
        <v>261</v>
      </c>
      <c r="G57" s="9" t="s">
        <v>262</v>
      </c>
      <c r="H57" s="10" t="n">
        <v>0.015625</v>
      </c>
      <c r="I57" s="8" t="s">
        <v>29</v>
      </c>
      <c r="J57" s="9"/>
    </row>
    <row r="58" customFormat="false" ht="15" hidden="false" customHeight="false" outlineLevel="0" collapsed="false">
      <c r="A58" s="12" t="s">
        <v>263</v>
      </c>
      <c r="B58" s="12" t="s">
        <v>23</v>
      </c>
      <c r="C58" s="12" t="s">
        <v>24</v>
      </c>
      <c r="D58" s="13" t="s">
        <v>264</v>
      </c>
      <c r="E58" s="13" t="s">
        <v>265</v>
      </c>
      <c r="F58" s="13" t="s">
        <v>266</v>
      </c>
      <c r="G58" s="13" t="s">
        <v>267</v>
      </c>
      <c r="H58" s="14" t="n">
        <v>0.015625</v>
      </c>
      <c r="I58" s="12" t="s">
        <v>42</v>
      </c>
      <c r="J58" s="13"/>
    </row>
    <row r="59" customFormat="false" ht="15" hidden="false" customHeight="false" outlineLevel="0" collapsed="false">
      <c r="A59" s="12" t="s">
        <v>263</v>
      </c>
      <c r="B59" s="12" t="s">
        <v>23</v>
      </c>
      <c r="C59" s="12" t="s">
        <v>31</v>
      </c>
      <c r="D59" s="13" t="s">
        <v>268</v>
      </c>
      <c r="E59" s="13" t="s">
        <v>269</v>
      </c>
      <c r="F59" s="13" t="s">
        <v>270</v>
      </c>
      <c r="G59" s="13" t="s">
        <v>271</v>
      </c>
      <c r="H59" s="14" t="n">
        <v>0.015625</v>
      </c>
      <c r="I59" s="12" t="s">
        <v>29</v>
      </c>
      <c r="J59" s="13"/>
    </row>
    <row r="60" customFormat="false" ht="15" hidden="false" customHeight="false" outlineLevel="0" collapsed="false">
      <c r="A60" s="12" t="s">
        <v>263</v>
      </c>
      <c r="B60" s="12" t="s">
        <v>23</v>
      </c>
      <c r="C60" s="12" t="s">
        <v>37</v>
      </c>
      <c r="D60" s="13" t="s">
        <v>272</v>
      </c>
      <c r="E60" s="13" t="s">
        <v>273</v>
      </c>
      <c r="F60" s="13" t="s">
        <v>274</v>
      </c>
      <c r="G60" s="13" t="s">
        <v>275</v>
      </c>
      <c r="H60" s="14" t="n">
        <v>0.015625</v>
      </c>
      <c r="I60" s="12" t="s">
        <v>29</v>
      </c>
      <c r="J60" s="13"/>
    </row>
    <row r="61" customFormat="false" ht="15" hidden="false" customHeight="false" outlineLevel="0" collapsed="false">
      <c r="A61" s="12" t="s">
        <v>263</v>
      </c>
      <c r="B61" s="12" t="s">
        <v>43</v>
      </c>
      <c r="C61" s="12" t="s">
        <v>24</v>
      </c>
      <c r="D61" s="13" t="s">
        <v>276</v>
      </c>
      <c r="E61" s="13" t="s">
        <v>277</v>
      </c>
      <c r="F61" s="13" t="s">
        <v>278</v>
      </c>
      <c r="G61" s="13" t="s">
        <v>279</v>
      </c>
      <c r="H61" s="14" t="n">
        <v>0.015625</v>
      </c>
      <c r="I61" s="12" t="s">
        <v>42</v>
      </c>
      <c r="J61" s="13"/>
    </row>
    <row r="62" customFormat="false" ht="15" hidden="false" customHeight="false" outlineLevel="0" collapsed="false">
      <c r="A62" s="12" t="s">
        <v>263</v>
      </c>
      <c r="B62" s="12" t="s">
        <v>43</v>
      </c>
      <c r="C62" s="12" t="s">
        <v>31</v>
      </c>
      <c r="D62" s="13" t="s">
        <v>280</v>
      </c>
      <c r="E62" s="13" t="s">
        <v>281</v>
      </c>
      <c r="F62" s="13" t="s">
        <v>282</v>
      </c>
      <c r="G62" s="13" t="s">
        <v>283</v>
      </c>
      <c r="H62" s="14" t="n">
        <v>0.015625</v>
      </c>
      <c r="I62" s="12" t="s">
        <v>29</v>
      </c>
      <c r="J62" s="13"/>
    </row>
    <row r="63" customFormat="false" ht="15" hidden="false" customHeight="false" outlineLevel="0" collapsed="false">
      <c r="A63" s="12" t="s">
        <v>263</v>
      </c>
      <c r="B63" s="12" t="s">
        <v>43</v>
      </c>
      <c r="C63" s="12" t="s">
        <v>37</v>
      </c>
      <c r="D63" s="13" t="s">
        <v>284</v>
      </c>
      <c r="E63" s="13" t="s">
        <v>285</v>
      </c>
      <c r="F63" s="13" t="s">
        <v>286</v>
      </c>
      <c r="G63" s="13" t="s">
        <v>287</v>
      </c>
      <c r="H63" s="14" t="n">
        <v>0.015625</v>
      </c>
      <c r="I63" s="12" t="s">
        <v>29</v>
      </c>
      <c r="J63" s="13"/>
    </row>
    <row r="64" customFormat="false" ht="15" hidden="false" customHeight="false" outlineLevel="0" collapsed="false">
      <c r="A64" s="12" t="s">
        <v>263</v>
      </c>
      <c r="B64" s="12" t="s">
        <v>56</v>
      </c>
      <c r="C64" s="12" t="s">
        <v>24</v>
      </c>
      <c r="D64" s="13" t="s">
        <v>288</v>
      </c>
      <c r="E64" s="13" t="s">
        <v>289</v>
      </c>
      <c r="F64" s="13" t="s">
        <v>290</v>
      </c>
      <c r="G64" s="13" t="s">
        <v>291</v>
      </c>
      <c r="H64" s="14" t="n">
        <v>0.015625</v>
      </c>
      <c r="I64" s="12" t="s">
        <v>29</v>
      </c>
      <c r="J64" s="13"/>
    </row>
    <row r="65" customFormat="false" ht="15" hidden="false" customHeight="false" outlineLevel="0" collapsed="false">
      <c r="A65" s="12" t="s">
        <v>263</v>
      </c>
      <c r="B65" s="12" t="s">
        <v>56</v>
      </c>
      <c r="C65" s="12" t="s">
        <v>31</v>
      </c>
      <c r="D65" s="13" t="s">
        <v>292</v>
      </c>
      <c r="E65" s="13" t="s">
        <v>293</v>
      </c>
      <c r="F65" s="13" t="s">
        <v>294</v>
      </c>
      <c r="G65" s="13" t="s">
        <v>295</v>
      </c>
      <c r="H65" s="14" t="n">
        <v>0.015625</v>
      </c>
      <c r="I65" s="12" t="s">
        <v>42</v>
      </c>
      <c r="J65" s="13"/>
    </row>
  </sheetData>
  <dataValidations count="2">
    <dataValidation allowBlank="true" errorStyle="stop" operator="between" showDropDown="false" showErrorMessage="false" showInputMessage="false" sqref="I2:I65" type="list">
      <formula1>"Al día,Pendiente"</formula1>
      <formula2>0</formula2>
    </dataValidation>
    <dataValidation allowBlank="true" errorStyle="stop" operator="between" showDropDown="false" showErrorMessage="false" showInputMessage="false" sqref="B2:B65" type="list">
      <formula1>"-1,Bajo,1,2,3,4,5,6,7,8,Ático"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2026-09-21T12:00:56Z</dcterms:created>
  <dc:creator>openpyxl</dc:creator>
  <dc:description/>
  <dc:language>en-US</dc:language>
  <cp:lastModifiedBy/>
  <dcterms:modified xsi:type="dcterms:W3CDTF">2026-09-21T12:00:56Z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